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NbaPropPipelineA/"/>
    </mc:Choice>
  </mc:AlternateContent>
  <xr:revisionPtr revIDLastSave="19" documentId="8_{3ADF4B4F-9E54-4927-9F98-B3FB1DFD20DE}" xr6:coauthVersionLast="47" xr6:coauthVersionMax="47" xr10:uidLastSave="{F7A67A08-F7F3-481D-9AB0-04D35EF04688}"/>
  <bookViews>
    <workbookView xWindow="14295" yWindow="0" windowWidth="14610" windowHeight="17385" xr2:uid="{00000000-000D-0000-FFFF-FFFF00000000}"/>
  </bookViews>
  <sheets>
    <sheet name="Daily P&amp;L Log" sheetId="1" r:id="rId1"/>
  </sheets>
  <calcPr calcId="181029"/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4" i="1"/>
  <c r="A3" i="1"/>
  <c r="O3" i="1"/>
  <c r="P3" i="1" s="1"/>
  <c r="O4" i="1"/>
  <c r="O5" i="1"/>
  <c r="P5" i="1" s="1"/>
  <c r="O6" i="1"/>
  <c r="P6" i="1" s="1"/>
  <c r="O7" i="1"/>
  <c r="O8" i="1"/>
  <c r="O9" i="1"/>
  <c r="O10" i="1"/>
  <c r="O11" i="1"/>
  <c r="P11" i="1" s="1"/>
  <c r="O12" i="1"/>
  <c r="O2" i="1"/>
  <c r="P7" i="1"/>
  <c r="P8" i="1"/>
  <c r="P9" i="1"/>
  <c r="P10" i="1"/>
  <c r="P12" i="1"/>
  <c r="P2" i="1"/>
  <c r="K3" i="1"/>
  <c r="K4" i="1"/>
  <c r="P4" i="1" s="1"/>
  <c r="K5" i="1"/>
  <c r="K6" i="1"/>
  <c r="K7" i="1"/>
  <c r="K8" i="1"/>
  <c r="K9" i="1"/>
  <c r="K10" i="1"/>
  <c r="K11" i="1"/>
  <c r="K12" i="1"/>
  <c r="K2" i="1"/>
  <c r="J3" i="1"/>
  <c r="J4" i="1"/>
  <c r="J5" i="1"/>
  <c r="J6" i="1"/>
  <c r="J7" i="1"/>
  <c r="J8" i="1"/>
  <c r="J9" i="1"/>
  <c r="J10" i="1"/>
  <c r="J11" i="1"/>
  <c r="J12" i="1"/>
</calcChain>
</file>

<file path=xl/sharedStrings.xml><?xml version="1.0" encoding="utf-8"?>
<sst xmlns="http://schemas.openxmlformats.org/spreadsheetml/2006/main" count="83" uniqueCount="55">
  <si>
    <t>Date</t>
  </si>
  <si>
    <t>Slip ID</t>
  </si>
  <si>
    <t>Platform</t>
  </si>
  <si>
    <t>Leg Count</t>
  </si>
  <si>
    <t>Hit Legs</t>
  </si>
  <si>
    <t>Total Legs</t>
  </si>
  <si>
    <t>Hit Rate</t>
  </si>
  <si>
    <t>Notes</t>
  </si>
  <si>
    <t>PrizePicks</t>
  </si>
  <si>
    <t>PP-001</t>
  </si>
  <si>
    <t>PP-002</t>
  </si>
  <si>
    <t>PP-003</t>
  </si>
  <si>
    <t>PP-004</t>
  </si>
  <si>
    <t>PP-005</t>
  </si>
  <si>
    <t>PP-006</t>
  </si>
  <si>
    <t>PP-007</t>
  </si>
  <si>
    <t>PP-008</t>
  </si>
  <si>
    <t>PP-009</t>
  </si>
  <si>
    <t>PP-010</t>
  </si>
  <si>
    <t>PP-011</t>
  </si>
  <si>
    <t>PP-012</t>
  </si>
  <si>
    <t>PP-013</t>
  </si>
  <si>
    <t>6-Pick Power</t>
  </si>
  <si>
    <t>PP-010 | OG Anunoby – PTS O14.5 – Goblin ; Alperen Sengun – REB O7.5 – Goblin ; Jabari Smith – PTS O10.5 – Goblin ; John Collins – PTS O10.5 – Goblin ; Brandon Williams – PTS O11.5 – Standard ; Max Christie – PTS O9.5 – Goblin || Goblin=5 | Standard=1 | Demon=0</t>
  </si>
  <si>
    <t>3-Pick Power</t>
  </si>
  <si>
    <t>PP-011 | Brandon Williams – PTS O11.5 – Standard ; Dylan Harper – PRA O14.5 – Goblin ; Jalen Suggs – AST O4.5 – Goblin || Goblin=2 | Standard=1 | Demon=0</t>
  </si>
  <si>
    <t>5-Pick Power</t>
  </si>
  <si>
    <t>PP-012 | Jarace Walker – BLKS+STLS U1.5 – Standard ; Brandon Williams – PTS O9.5 – Goblin ; Max Christie – PTS O9.5 – Goblin ; Dylan Harper – PRA O14.5 – Goblin ; Luka Doncic – PTS U31.5 – Standard || Goblin=3 | Standard=2 | Demon=0</t>
  </si>
  <si>
    <t>PP-013 | OG Anunoby – PTS O15.5 – Standard ; John Collins – PTS O14 – Standard ; Kawhi Leonard – 2PM O7.5 – Standard ; Brandon Williams – PTS O11.5 – Standard ; Caleb Martin – PRA O11.5 – Demon ; Jalen Suggs – AST O5.5 – Standard || Goblin=0 | Standard=5 | Demon=1</t>
  </si>
  <si>
    <t>PP-014 | Jarace Walker – PTS O9.5 – Goblin ; OG Anunoby – PTS O14.5 – Goblin ; Jabari Smith – PTS O9.5 – Goblin ; Austin Reaves – PTS U19.5 – Standard ; De’Aaron Fox – PTS U17.5 – Standard ; Jalen Williams – PRA U28.5 – Standard || Goblin=3 | Standard=3 | Demon=0</t>
  </si>
  <si>
    <t>PP-015 | Jarace Walker – BLKS+STLS U1.5 – Standard ; Pascal Siakam – REB U6.5 – Standard ; Brandon Williams – PTS O9.5 – Goblin ; Max Christie – PTS O9.5 – Goblin ; Dylan Harper – PRA O14.5 – Goblin ; Luka Doncic – PTS U31.5 – Standard || Goblin=3 | Standard=3 | Demon=0</t>
  </si>
  <si>
    <t>PP-016 | Dillon Brooks – PRA O26.5 – Standard ; De’Aaron Fox – AST O6 – Standard ; Desmond Bane – PTS O18.5 – Standard || Goblin=0 | Standard=3 | Demon=0</t>
  </si>
  <si>
    <t>3-Pick Flex</t>
  </si>
  <si>
    <t>PP-017 | Austin Reaves – PTS U19.5 – Standard ; De’Aaron Fox – PTS U17.5 – Standard ; Jalen Williams – PRA U28.5 – Standard || Goblin=0 | Standard=3 | Demon=0</t>
  </si>
  <si>
    <t>Bankroll (After Bet)</t>
  </si>
  <si>
    <t>PP-018</t>
  </si>
  <si>
    <t>PP-018 | Brandon Williams – PTS O11.5 – Standard ; Cooper Flagg – PTS O0.5 – Promo ; Max Christie – PTS O7.5 – Goblin ; P.J. Washington – FGA O8.5 – Standard ; OG Anunoby – PTS O15.5 – Standard ; Jabari Smith – PTS O11.5 – Goblin || Goblin=2 | Standard=3 | Promo=1 | Demon=0</t>
  </si>
  <si>
    <t>4-Pick Power</t>
  </si>
  <si>
    <t>Bet Type</t>
  </si>
  <si>
    <t>Stake</t>
  </si>
  <si>
    <t>Potential Payout</t>
  </si>
  <si>
    <t>Actual Payout</t>
  </si>
  <si>
    <t>Net P&amp;L</t>
  </si>
  <si>
    <t>Result</t>
  </si>
  <si>
    <t>—</t>
  </si>
  <si>
    <t>DNP Legs</t>
  </si>
  <si>
    <t>Miss Leg</t>
  </si>
  <si>
    <t>Pending</t>
  </si>
  <si>
    <t>PP-009 | Jalen Johnson – AST O5.5 – Goblin ; Daeqwon Plowden – FGA U11 – Standard ; Maxime Raynaud – FGA U11.5 – Standard ; Moses Moody – 3PTA U8.5 – Standard ; Pat Spencer – 2PTA U7.5 – Standard || Goblin=1 | Standard=4 | Demon=0</t>
  </si>
  <si>
    <t>5-Pick Flex</t>
  </si>
  <si>
    <t>PP-010 | Franz Wagner – PTS O11.5 – Goblin ; Joel Embiid – PTS O25.5 – Goblin ; John Collins – PTS O11.5 – Goblin ; Jamal Murray – AST O5.5 – Goblin ; Cason Wallace – PTS O7.5 – Goblin || Goblin=5 | Standard=0 | Demon=0</t>
  </si>
  <si>
    <t>PP-011 | Franz Wagner – PTS O9.5 – Goblin ; John Collins – PTS O11.5 – Goblin ; Devin Carter – PRA U26.5 – Standard ; Jamal Murray – AST O5.5 – Goblin ; De’Aaron Fox – PTS U18.5 – Standard || Goblin=3 | Standard=2 | Demon=0</t>
  </si>
  <si>
    <t>PP-012 | Jalen Johnson – AST O5.5 – Goblin ; John Collins – REB O3.5 – Goblin ; Daeqwon Plowden – PRA U19.5 – Standard ; Devin Carter – PRA U26.5 – Standard || Goblin=2 | Standard=2 | Demon=0</t>
  </si>
  <si>
    <t>PP-013 | Daeqwon Plowden – FGA U11 – Standard ; Maxime Raynaud – FGA U11.5 – Standard ; Moses Moody – 3PTA U8.5 – Standard || Goblin=0 | Standard=3 | Demon=0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</si>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</sst>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zoomScaleNormal="100" workbookViewId="0">
      <selection activeCell="I9" sqref="I9"/>
    </sheetView>
  </sheetViews>
  <sheetFormatPr defaultRowHeight="15" x14ac:dyDescent="0.25"/>
  <cols>
    <col min="1" max="1" width="18.42578125" style="2" bestFit="1" customWidth="1"/>
    <col min="2" max="2" width="9.7109375" bestFit="1" customWidth="1"/>
    <col min="3" max="3" width="7.85546875" bestFit="1" customWidth="1"/>
    <col min="4" max="4" width="9.85546875" bestFit="1" customWidth="1"/>
    <col min="5" max="5" width="21.140625" bestFit="1" customWidth="1"/>
    <col min="6" max="6" width="9.7109375" bestFit="1" customWidth="1"/>
    <col min="7" max="7" width="8.7109375" bestFit="1" customWidth="1"/>
    <col min="8" max="8" width="18.85546875" bestFit="1" customWidth="1"/>
    <col min="9" max="9" width="16.140625" bestFit="1" customWidth="1"/>
    <col min="10" max="10" width="11" bestFit="1" customWidth="1"/>
    <col min="11" max="11" width="23.5703125" bestFit="1" customWidth="1"/>
    <col min="12" max="12" width="7.85546875" bestFit="1" customWidth="1"/>
    <col min="13" max="14" width="7.85546875" customWidth="1"/>
    <col min="15" max="15" width="9.7109375" bestFit="1" customWidth="1"/>
    <col min="16" max="16" width="8" bestFit="1" customWidth="1"/>
    <col min="17" max="17" width="255.5703125" customWidth="1"/>
    <col min="18" max="18" width="215.85546875" bestFit="1" customWidth="1"/>
  </cols>
  <sheetData>
    <row r="1" spans="1:17" x14ac:dyDescent="0.25">
      <c r="A1" t="s">
        <v>34</v>
      </c>
      <c r="B1" t="s">
        <v>0</v>
      </c>
      <c r="C1" t="s">
        <v>1</v>
      </c>
      <c r="D1" t="s">
        <v>2</v>
      </c>
      <c r="E1" t="s">
        <v>38</v>
      </c>
      <c r="F1" t="s">
        <v>3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</v>
      </c>
      <c r="M1" t="s">
        <v>45</v>
      </c>
      <c r="N1" t="s">
        <v>46</v>
      </c>
      <c r="O1" t="s">
        <v>5</v>
      </c>
      <c r="P1" t="s">
        <v>6</v>
      </c>
      <c r="Q1" t="s">
        <v>7</v>
      </c>
    </row>
    <row r="2" spans="1:17" x14ac:dyDescent="0.25">
      <c r="A2" s="2">
        <v>173</v>
      </c>
      <c r="B2" s="1">
        <v>45697</v>
      </c>
      <c r="E2" t="s">
        <v>44</v>
      </c>
      <c r="F2">
        <v>0</v>
      </c>
      <c r="G2">
        <v>20</v>
      </c>
      <c r="H2" s="3" t="s">
        <v>44</v>
      </c>
      <c r="I2" t="s">
        <v>44</v>
      </c>
      <c r="J2" t="s">
        <v>44</v>
      </c>
      <c r="K2" t="str">
        <f>IF(OR(I2="",I2="—"),"Pending",IF(IFERROR(VALUE(I2),0)=0,"Loss","Win"))</f>
        <v>Pending</v>
      </c>
      <c r="O2">
        <f>IF(F2="", "", F2)</f>
        <v>0</v>
      </c>
      <c r="P2" t="str">
        <f>IF(K2="Pending","",IFERROR(L2/(O2-M2),0))</f>
        <v/>
      </c>
    </row>
    <row r="3" spans="1:17" x14ac:dyDescent="0.25">
      <c r="A3" s="2">
        <f>A2-G3</f>
        <v>153</v>
      </c>
      <c r="B3" s="1">
        <v>45698</v>
      </c>
      <c r="C3" t="s">
        <v>9</v>
      </c>
      <c r="D3" t="s">
        <v>8</v>
      </c>
      <c r="E3" t="s">
        <v>22</v>
      </c>
      <c r="F3">
        <v>6</v>
      </c>
      <c r="G3">
        <v>20</v>
      </c>
      <c r="H3" s="3">
        <v>195</v>
      </c>
      <c r="I3" s="3">
        <v>0</v>
      </c>
      <c r="J3" s="3">
        <f t="shared" ref="J3:J17" si="0">IF(I3="",0, I3-G3)</f>
        <v>-20</v>
      </c>
      <c r="K3" t="str">
        <f t="shared" ref="K3:K17" si="1">IF(OR(I3="",I3="—"),"Pending",IF(IFERROR(VALUE(I3),0)=0,"Loss","Win"))</f>
        <v>Loss</v>
      </c>
      <c r="L3" s="3">
        <v>2</v>
      </c>
      <c r="M3" s="3">
        <v>1</v>
      </c>
      <c r="N3" s="3">
        <v>3</v>
      </c>
      <c r="O3">
        <f t="shared" ref="O3:O17" si="2">IF(F3="", "", F3)</f>
        <v>6</v>
      </c>
      <c r="P3">
        <f t="shared" ref="P3:P17" si="3">IF(K3="Pending","",IFERROR(L3/(O3-M3),0))</f>
        <v>0.4</v>
      </c>
      <c r="Q3" t="s">
        <v>23</v>
      </c>
    </row>
    <row r="4" spans="1:17" x14ac:dyDescent="0.25">
      <c r="A4" s="2">
        <f>A3-G4</f>
        <v>133</v>
      </c>
      <c r="B4" s="1">
        <v>45698</v>
      </c>
      <c r="C4" t="s">
        <v>10</v>
      </c>
      <c r="D4" t="s">
        <v>8</v>
      </c>
      <c r="E4" t="s">
        <v>24</v>
      </c>
      <c r="F4">
        <v>3</v>
      </c>
      <c r="G4">
        <v>20</v>
      </c>
      <c r="H4" s="3">
        <v>70</v>
      </c>
      <c r="I4" s="3">
        <v>0</v>
      </c>
      <c r="J4" s="3">
        <f t="shared" si="0"/>
        <v>-20</v>
      </c>
      <c r="K4" t="str">
        <f t="shared" si="1"/>
        <v>Loss</v>
      </c>
      <c r="O4">
        <f t="shared" si="2"/>
        <v>3</v>
      </c>
      <c r="P4">
        <f t="shared" si="3"/>
        <v>0</v>
      </c>
      <c r="Q4" t="s">
        <v>25</v>
      </c>
    </row>
    <row r="5" spans="1:17" x14ac:dyDescent="0.25">
      <c r="A5" s="2">
        <f t="shared" ref="A5:A17" si="4">A4-G5</f>
        <v>113</v>
      </c>
      <c r="B5" s="1">
        <v>45698</v>
      </c>
      <c r="C5" t="s">
        <v>11</v>
      </c>
      <c r="D5" t="s">
        <v>8</v>
      </c>
      <c r="E5" t="s">
        <v>26</v>
      </c>
      <c r="F5">
        <v>5</v>
      </c>
      <c r="G5">
        <v>20</v>
      </c>
      <c r="H5" s="3">
        <v>175</v>
      </c>
      <c r="I5" s="3">
        <v>0</v>
      </c>
      <c r="J5" s="3">
        <f t="shared" si="0"/>
        <v>-20</v>
      </c>
      <c r="K5" t="str">
        <f t="shared" si="1"/>
        <v>Loss</v>
      </c>
      <c r="L5" s="3">
        <v>1</v>
      </c>
      <c r="M5" s="3">
        <v>2</v>
      </c>
      <c r="N5" s="3">
        <v>2</v>
      </c>
      <c r="O5">
        <f t="shared" si="2"/>
        <v>5</v>
      </c>
      <c r="P5">
        <f t="shared" si="3"/>
        <v>0.33333333333333331</v>
      </c>
      <c r="Q5" t="s">
        <v>27</v>
      </c>
    </row>
    <row r="6" spans="1:17" x14ac:dyDescent="0.25">
      <c r="A6" s="2">
        <f t="shared" si="4"/>
        <v>93</v>
      </c>
      <c r="B6" s="1">
        <v>45698</v>
      </c>
      <c r="C6" t="s">
        <v>12</v>
      </c>
      <c r="D6" t="s">
        <v>8</v>
      </c>
      <c r="E6" t="s">
        <v>22</v>
      </c>
      <c r="F6">
        <v>6</v>
      </c>
      <c r="G6">
        <v>20</v>
      </c>
      <c r="H6" s="3">
        <v>770</v>
      </c>
      <c r="I6" s="3">
        <v>0</v>
      </c>
      <c r="J6" s="3">
        <f t="shared" si="0"/>
        <v>-20</v>
      </c>
      <c r="K6" t="str">
        <f t="shared" si="1"/>
        <v>Loss</v>
      </c>
      <c r="L6" s="3">
        <v>1</v>
      </c>
      <c r="M6" s="3">
        <v>2</v>
      </c>
      <c r="N6" s="3">
        <v>3</v>
      </c>
      <c r="O6">
        <f t="shared" si="2"/>
        <v>6</v>
      </c>
      <c r="P6">
        <f t="shared" si="3"/>
        <v>0.25</v>
      </c>
      <c r="Q6" t="s">
        <v>28</v>
      </c>
    </row>
    <row r="7" spans="1:17" x14ac:dyDescent="0.25">
      <c r="A7" s="2">
        <f t="shared" si="4"/>
        <v>73</v>
      </c>
      <c r="B7" s="1">
        <v>45698</v>
      </c>
      <c r="C7" t="s">
        <v>13</v>
      </c>
      <c r="D7" t="s">
        <v>8</v>
      </c>
      <c r="E7" t="s">
        <v>22</v>
      </c>
      <c r="F7">
        <v>6</v>
      </c>
      <c r="G7">
        <v>20</v>
      </c>
      <c r="H7" s="3">
        <v>300</v>
      </c>
      <c r="I7" s="3"/>
      <c r="J7" s="3">
        <f t="shared" si="0"/>
        <v>0</v>
      </c>
      <c r="K7" t="str">
        <f t="shared" si="1"/>
        <v>Pending</v>
      </c>
      <c r="O7">
        <f t="shared" si="2"/>
        <v>6</v>
      </c>
      <c r="P7" t="str">
        <f t="shared" si="3"/>
        <v/>
      </c>
      <c r="Q7" t="s">
        <v>29</v>
      </c>
    </row>
    <row r="8" spans="1:17" x14ac:dyDescent="0.25">
      <c r="A8" s="2">
        <f t="shared" si="4"/>
        <v>53</v>
      </c>
      <c r="B8" s="1">
        <v>45698</v>
      </c>
      <c r="C8" t="s">
        <v>14</v>
      </c>
      <c r="D8" t="s">
        <v>8</v>
      </c>
      <c r="E8" t="s">
        <v>22</v>
      </c>
      <c r="F8">
        <v>6</v>
      </c>
      <c r="G8">
        <v>20</v>
      </c>
      <c r="H8" s="3">
        <v>330</v>
      </c>
      <c r="I8" s="3">
        <v>0</v>
      </c>
      <c r="J8" s="3">
        <f t="shared" si="0"/>
        <v>-20</v>
      </c>
      <c r="K8" t="str">
        <f t="shared" si="1"/>
        <v>Loss</v>
      </c>
      <c r="L8" s="3">
        <v>2</v>
      </c>
      <c r="M8" s="3">
        <v>2</v>
      </c>
      <c r="N8" s="3">
        <v>2</v>
      </c>
      <c r="O8">
        <f t="shared" si="2"/>
        <v>6</v>
      </c>
      <c r="P8">
        <f t="shared" si="3"/>
        <v>0.5</v>
      </c>
      <c r="Q8" t="s">
        <v>30</v>
      </c>
    </row>
    <row r="9" spans="1:17" x14ac:dyDescent="0.25">
      <c r="A9" s="2">
        <f t="shared" si="4"/>
        <v>33</v>
      </c>
      <c r="B9" s="1">
        <v>45698</v>
      </c>
      <c r="C9" t="s">
        <v>15</v>
      </c>
      <c r="D9" t="s">
        <v>8</v>
      </c>
      <c r="E9" t="s">
        <v>24</v>
      </c>
      <c r="F9">
        <v>3</v>
      </c>
      <c r="G9">
        <v>20</v>
      </c>
      <c r="H9" s="3">
        <v>120</v>
      </c>
      <c r="I9" s="3"/>
      <c r="J9" s="3">
        <f t="shared" si="0"/>
        <v>0</v>
      </c>
      <c r="K9" t="str">
        <f t="shared" si="1"/>
        <v>Pending</v>
      </c>
      <c r="L9" s="3"/>
      <c r="M9" s="3"/>
      <c r="N9" s="3"/>
      <c r="O9">
        <f t="shared" si="2"/>
        <v>3</v>
      </c>
      <c r="P9" t="str">
        <f t="shared" si="3"/>
        <v/>
      </c>
      <c r="Q9" t="s">
        <v>31</v>
      </c>
    </row>
    <row r="10" spans="1:17" x14ac:dyDescent="0.25">
      <c r="A10" s="2">
        <f t="shared" si="4"/>
        <v>13</v>
      </c>
      <c r="B10" s="1">
        <v>45698</v>
      </c>
      <c r="C10" t="s">
        <v>16</v>
      </c>
      <c r="D10" t="s">
        <v>8</v>
      </c>
      <c r="E10" t="s">
        <v>32</v>
      </c>
      <c r="F10">
        <v>3</v>
      </c>
      <c r="G10">
        <v>20</v>
      </c>
      <c r="H10" s="3">
        <v>60</v>
      </c>
      <c r="I10" s="3"/>
      <c r="J10" s="3">
        <f t="shared" si="0"/>
        <v>0</v>
      </c>
      <c r="K10" t="str">
        <f t="shared" si="1"/>
        <v>Pending</v>
      </c>
      <c r="L10" s="3"/>
      <c r="M10" s="3"/>
      <c r="N10" s="3"/>
      <c r="O10">
        <f t="shared" si="2"/>
        <v>3</v>
      </c>
      <c r="P10" t="str">
        <f t="shared" si="3"/>
        <v/>
      </c>
      <c r="Q10" t="s">
        <v>33</v>
      </c>
    </row>
    <row r="11" spans="1:17" x14ac:dyDescent="0.25">
      <c r="A11" s="2">
        <f t="shared" si="4"/>
        <v>0</v>
      </c>
      <c r="B11" s="1">
        <v>45698</v>
      </c>
      <c r="C11" t="s">
        <v>35</v>
      </c>
      <c r="D11" t="s">
        <v>8</v>
      </c>
      <c r="E11" t="s">
        <v>22</v>
      </c>
      <c r="F11">
        <v>6</v>
      </c>
      <c r="G11">
        <v>13</v>
      </c>
      <c r="H11">
        <v>126.75</v>
      </c>
      <c r="I11" s="3">
        <v>0</v>
      </c>
      <c r="J11" s="3">
        <f t="shared" si="0"/>
        <v>-13</v>
      </c>
      <c r="K11" t="str">
        <f t="shared" si="1"/>
        <v>Loss</v>
      </c>
      <c r="L11" s="3">
        <v>3</v>
      </c>
      <c r="M11" s="3">
        <v>1</v>
      </c>
      <c r="N11" s="3">
        <v>2</v>
      </c>
      <c r="O11">
        <f t="shared" si="2"/>
        <v>6</v>
      </c>
      <c r="P11">
        <f t="shared" si="3"/>
        <v>0.6</v>
      </c>
      <c r="Q11" t="s">
        <v>36</v>
      </c>
    </row>
    <row r="12" spans="1:17" x14ac:dyDescent="0.25">
      <c r="A12" s="2">
        <f t="shared" si="4"/>
        <v>100</v>
      </c>
      <c r="B12" s="1">
        <v>45699</v>
      </c>
      <c r="C12" s="1" t="s">
        <v>54</v>
      </c>
      <c r="G12">
        <v>-100</v>
      </c>
      <c r="J12" s="3">
        <f t="shared" si="0"/>
        <v>0</v>
      </c>
      <c r="K12" t="str">
        <f t="shared" si="1"/>
        <v>Pending</v>
      </c>
      <c r="L12" s="3"/>
      <c r="M12" s="3"/>
      <c r="N12" s="3"/>
      <c r="O12" t="str">
        <f t="shared" si="2"/>
        <v/>
      </c>
      <c r="P12" t="str">
        <f t="shared" si="3"/>
        <v/>
      </c>
    </row>
    <row r="13" spans="1:17" x14ac:dyDescent="0.25">
      <c r="A13" s="2">
        <f t="shared" si="4"/>
        <v>80</v>
      </c>
      <c r="B13" s="1">
        <v>45699</v>
      </c>
      <c r="C13" t="s">
        <v>17</v>
      </c>
      <c r="D13" t="s">
        <v>8</v>
      </c>
      <c r="E13" t="s">
        <v>26</v>
      </c>
      <c r="F13">
        <v>5</v>
      </c>
      <c r="G13">
        <v>20</v>
      </c>
      <c r="H13" s="3">
        <v>260</v>
      </c>
      <c r="J13" s="3">
        <v>0</v>
      </c>
      <c r="K13" t="s">
        <v>47</v>
      </c>
      <c r="L13" s="3"/>
      <c r="M13" s="3"/>
      <c r="N13" s="3"/>
      <c r="O13">
        <v>5</v>
      </c>
      <c r="Q13" t="s">
        <v>48</v>
      </c>
    </row>
    <row r="14" spans="1:17" x14ac:dyDescent="0.25">
      <c r="A14" s="2">
        <f t="shared" si="4"/>
        <v>60</v>
      </c>
      <c r="B14" s="1">
        <v>45699</v>
      </c>
      <c r="C14" t="s">
        <v>18</v>
      </c>
      <c r="D14" t="s">
        <v>8</v>
      </c>
      <c r="E14" t="s">
        <v>49</v>
      </c>
      <c r="F14">
        <v>5</v>
      </c>
      <c r="G14">
        <v>20</v>
      </c>
      <c r="H14" s="3">
        <v>80</v>
      </c>
      <c r="J14" s="3">
        <v>0</v>
      </c>
      <c r="K14" t="s">
        <v>47</v>
      </c>
      <c r="L14" s="3"/>
      <c r="M14" s="3"/>
      <c r="N14" s="3"/>
      <c r="O14">
        <v>5</v>
      </c>
      <c r="Q14" t="s">
        <v>50</v>
      </c>
    </row>
    <row r="15" spans="1:17" x14ac:dyDescent="0.25">
      <c r="A15" s="2">
        <f t="shared" si="4"/>
        <v>40</v>
      </c>
      <c r="B15" s="1">
        <v>45699</v>
      </c>
      <c r="C15" t="s">
        <v>19</v>
      </c>
      <c r="D15" t="s">
        <v>8</v>
      </c>
      <c r="E15" t="s">
        <v>26</v>
      </c>
      <c r="F15">
        <v>5</v>
      </c>
      <c r="G15">
        <v>20</v>
      </c>
      <c r="H15" s="3">
        <v>145</v>
      </c>
      <c r="J15" s="3">
        <v>0</v>
      </c>
      <c r="K15" t="s">
        <v>47</v>
      </c>
      <c r="L15" s="3"/>
      <c r="M15" s="3"/>
      <c r="N15" s="3"/>
      <c r="O15">
        <v>5</v>
      </c>
      <c r="Q15" t="s">
        <v>51</v>
      </c>
    </row>
    <row r="16" spans="1:17" x14ac:dyDescent="0.25">
      <c r="A16" s="2">
        <f t="shared" si="4"/>
        <v>20</v>
      </c>
      <c r="B16" s="1">
        <v>45699</v>
      </c>
      <c r="C16" t="s">
        <v>20</v>
      </c>
      <c r="D16" t="s">
        <v>8</v>
      </c>
      <c r="E16" t="s">
        <v>37</v>
      </c>
      <c r="F16">
        <v>4</v>
      </c>
      <c r="G16">
        <v>20</v>
      </c>
      <c r="H16" s="3">
        <v>90</v>
      </c>
      <c r="J16" s="3">
        <v>0</v>
      </c>
      <c r="K16" t="s">
        <v>47</v>
      </c>
      <c r="L16" s="3"/>
      <c r="M16" s="3"/>
      <c r="N16" s="3"/>
      <c r="O16">
        <v>4</v>
      </c>
      <c r="Q16" t="s">
        <v>52</v>
      </c>
    </row>
    <row r="17" spans="1:17" x14ac:dyDescent="0.25">
      <c r="A17" s="2">
        <f t="shared" si="4"/>
        <v>0</v>
      </c>
      <c r="B17" s="1">
        <v>45699</v>
      </c>
      <c r="C17" t="s">
        <v>21</v>
      </c>
      <c r="D17" t="s">
        <v>8</v>
      </c>
      <c r="E17" t="s">
        <v>32</v>
      </c>
      <c r="F17">
        <v>3</v>
      </c>
      <c r="G17">
        <v>20</v>
      </c>
      <c r="H17" s="3">
        <v>60</v>
      </c>
      <c r="J17" s="3">
        <v>0</v>
      </c>
      <c r="K17" t="s">
        <v>47</v>
      </c>
      <c r="O17">
        <v>3</v>
      </c>
      <c r="Q17" t="s">
        <v>53</v>
      </c>
    </row>
    <row r="18" spans="1:17" x14ac:dyDescent="0.25">
      <c r="B18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P&amp;L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2026-02-10T18:09:45Z</dcterms:created>
  <dcterms:modified xsi:type="dcterms:W3CDTF">2026-02-12T00:31:33Z</dcterms:modified>
</cp:coreProperties>
</file>