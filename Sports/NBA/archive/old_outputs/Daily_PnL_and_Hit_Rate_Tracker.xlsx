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NbaPropPipelineA/"/>
    </mc:Choice>
  </mc:AlternateContent>
  <xr:revisionPtr revIDLastSave="114" documentId="11_895DF7AF9273B89EEF48A0D756B8B6FF78B986E3" xr6:coauthVersionLast="47" xr6:coauthVersionMax="47" xr10:uidLastSave="{7353FE33-287B-4F49-88BC-033885CD459E}"/>
  <bookViews>
    <workbookView xWindow="14805" yWindow="3285" windowWidth="21810" windowHeight="15450" xr2:uid="{00000000-000D-0000-FFFF-FFFF00000000}"/>
  </bookViews>
  <sheets>
    <sheet name="Daily P&amp;L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11" i="1"/>
  <c r="J19" i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A11" i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<sst xmlns="http://schemas.openxmlformats.org/spreadsheetml/2006/main" count="62" uniqueCount="48">
  <si>
    <t>Date</t>
  </si>
  <si>
    <t>Slip ID</t>
  </si>
  <si>
    <t>Platform</t>
  </si>
  <si>
    <t>Bet Type (Flex/Power)</t>
  </si>
  <si>
    <t>Leg Count</t>
  </si>
  <si>
    <t>Stake ($)</t>
  </si>
  <si>
    <t>Potential Payout ($)</t>
  </si>
  <si>
    <t>Actual Payout ($)</t>
  </si>
  <si>
    <t>Net P&amp;L ($)</t>
  </si>
  <si>
    <t>Result (Win/Loss/Partial)</t>
  </si>
  <si>
    <t>Hit Legs</t>
  </si>
  <si>
    <t>Total Legs</t>
  </si>
  <si>
    <t>Hit Rate</t>
  </si>
  <si>
    <t>Notes</t>
  </si>
  <si>
    <t>PrizePicks</t>
  </si>
  <si>
    <t>PP-001</t>
  </si>
  <si>
    <t>PP-002</t>
  </si>
  <si>
    <t>PP-003</t>
  </si>
  <si>
    <t>PP-004</t>
  </si>
  <si>
    <t>PP-005</t>
  </si>
  <si>
    <t>PP-006</t>
  </si>
  <si>
    <t>PP-007</t>
  </si>
  <si>
    <t>PP-008</t>
  </si>
  <si>
    <t>PP-009</t>
  </si>
  <si>
    <t>PP-010</t>
  </si>
  <si>
    <t>PP-011</t>
  </si>
  <si>
    <t>PP-012</t>
  </si>
  <si>
    <t>PP-013</t>
  </si>
  <si>
    <t>PP-014</t>
  </si>
  <si>
    <t>PP-015</t>
  </si>
  <si>
    <t>PP-016</t>
  </si>
  <si>
    <t>PP-017</t>
  </si>
  <si>
    <r>
      <t xml:space="preserve">6-Pick </t>
    </r>
    <r>
      <rPr>
        <b/>
        <sz val="11"/>
        <color theme="1"/>
        <rFont val="Calibri"/>
        <family val="2"/>
        <scheme val="minor"/>
      </rPr>
      <t>Power</t>
    </r>
  </si>
  <si>
    <t>6-Pick Power</t>
  </si>
  <si>
    <t>PP-010 | OG Anunoby – PTS O14.5 – Goblin ; Alperen Sengun – REB O7.5 – Goblin ; Jabari Smith – PTS O10.5 – Goblin ; John Collins – PTS O10.5 – Goblin ; Brandon Williams – PTS O11.5 – Standard ; Max Christie – PTS O9.5 – Goblin || Goblin=5 | Standard=1 | Demon=0</t>
  </si>
  <si>
    <t>3-Pick Power</t>
  </si>
  <si>
    <t>PP-011 | Brandon Williams – PTS O11.5 – Standard ; Dylan Harper – PRA O14.5 – Goblin ; Jalen Suggs – AST O4.5 – Goblin || Goblin=2 | Standard=1 | Demon=0</t>
  </si>
  <si>
    <t>5-Pick Power</t>
  </si>
  <si>
    <t>PP-012 | Jarace Walker – BLKS+STLS U1.5 – Standard ; Brandon Williams – PTS O9.5 – Goblin ; Max Christie – PTS O9.5 – Goblin ; Dylan Harper – PRA O14.5 – Goblin ; Luka Doncic – PTS U31.5 – Standard || Goblin=3 | Standard=2 | Demon=0</t>
  </si>
  <si>
    <t>PP-013 | OG Anunoby – PTS O15.5 – Standard ; John Collins – PTS O14 – Standard ; Kawhi Leonard – 2PM O7.5 – Standard ; Brandon Williams – PTS O11.5 – Standard ; Caleb Martin – PRA O11.5 – Demon ; Jalen Suggs – AST O5.5 – Standard || Goblin=0 | Standard=5 | Demon=1</t>
  </si>
  <si>
    <t>PP-014 | Jarace Walker – PTS O9.5 – Goblin ; OG Anunoby – PTS O14.5 – Goblin ; Jabari Smith – PTS O9.5 – Goblin ; Austin Reaves – PTS U19.5 – Standard ; De’Aaron Fox – PTS U17.5 – Standard ; Jalen Williams – PRA U28.5 – Standard || Goblin=3 | Standard=3 | Demon=0</t>
  </si>
  <si>
    <t>PP-015 | Jarace Walker – BLKS+STLS U1.5 – Standard ; Pascal Siakam – REB U6.5 – Standard ; Brandon Williams – PTS O9.5 – Goblin ; Max Christie – PTS O9.5 – Goblin ; Dylan Harper – PRA O14.5 – Goblin ; Luka Doncic – PTS U31.5 – Standard || Goblin=3 | Standard=3 | Demon=0</t>
  </si>
  <si>
    <t>PP-016 | Dillon Brooks – PRA O26.5 – Standard ; De’Aaron Fox – AST O6 – Standard ; Desmond Bane – PTS O18.5 – Standard || Goblin=0 | Standard=3 | Demon=0</t>
  </si>
  <si>
    <t>3-Pick Flex</t>
  </si>
  <si>
    <t>PP-017 | Austin Reaves – PTS U19.5 – Standard ; De’Aaron Fox – PTS U17.5 – Standard ; Jalen Williams – PRA U28.5 – Standard || Goblin=0 | Standard=3 | Demon=0</t>
  </si>
  <si>
    <t>Bankroll (After Bet)</t>
  </si>
  <si>
    <t>PP-018</t>
  </si>
  <si>
    <t>PP-018 | Brandon Williams – PTS O11.5 – Standard ; Cooper Flagg – PTS O0.5 – Promo ; Max Christie – PTS O7.5 – Goblin ; P.J. Washington – FGA O8.5 – Standard ; OG Anunoby – PTS O15.5 – Standard ; Jabari Smith – PTS O11.5 – Goblin || Goblin=2 | Standard=3 | Promo=1 | Demon=0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</si>
</sst>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I14" sqref="I14"/>
    </sheetView>
  </sheetViews>
  <sheetFormatPr defaultRowHeight="15" x14ac:dyDescent="0.25"/>
  <cols>
    <col min="1" max="1" width="18.42578125" style="2" bestFit="1" customWidth="1"/>
    <col min="2" max="2" width="9.7109375" bestFit="1" customWidth="1"/>
    <col min="3" max="3" width="6.5703125" bestFit="1" customWidth="1"/>
    <col min="4" max="4" width="9.85546875" bestFit="1" customWidth="1"/>
    <col min="5" max="5" width="21.140625" bestFit="1" customWidth="1"/>
    <col min="6" max="6" width="9.7109375" bestFit="1" customWidth="1"/>
    <col min="7" max="7" width="8.7109375" bestFit="1" customWidth="1"/>
    <col min="8" max="8" width="18.85546875" bestFit="1" customWidth="1"/>
    <col min="9" max="9" width="16.140625" bestFit="1" customWidth="1"/>
    <col min="10" max="10" width="11" bestFit="1" customWidth="1"/>
    <col min="11" max="11" width="23.5703125" bestFit="1" customWidth="1"/>
    <col min="12" max="12" width="7.85546875" bestFit="1" customWidth="1"/>
    <col min="13" max="13" width="9.7109375" bestFit="1" customWidth="1"/>
    <col min="14" max="14" width="8" bestFit="1" customWidth="1"/>
    <col min="15" max="15" width="246.28515625" bestFit="1" customWidth="1"/>
    <col min="16" max="16" width="215.85546875" bestFit="1" customWidth="1"/>
  </cols>
  <sheetData>
    <row r="1" spans="1:15" x14ac:dyDescent="0.25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B2" s="1">
        <v>45697</v>
      </c>
      <c r="C2" t="s">
        <v>15</v>
      </c>
      <c r="D2" t="s">
        <v>14</v>
      </c>
      <c r="E2" t="s">
        <v>32</v>
      </c>
      <c r="G2">
        <v>20</v>
      </c>
      <c r="J2" t="str">
        <f>IF(H2="","",H2-F2)</f>
        <v/>
      </c>
      <c r="K2" t="str">
        <f>IF(H2="","",IF(H2=0,"Loss",IF(H2&lt;F2,"Partial","Win")))</f>
        <v/>
      </c>
    </row>
    <row r="3" spans="1:15" x14ac:dyDescent="0.25">
      <c r="B3" s="1">
        <v>45697</v>
      </c>
      <c r="C3" t="s">
        <v>16</v>
      </c>
      <c r="G3">
        <v>20</v>
      </c>
      <c r="J3" t="str">
        <f t="shared" ref="J3:J19" si="0">IF(H3="","",H3-F3)</f>
        <v/>
      </c>
      <c r="K3" t="str">
        <f t="shared" ref="K3:K19" si="1">IF(H3="","",IF(H3=0,"Loss",IF(H3&lt;F3,"Partial","Win")))</f>
        <v/>
      </c>
    </row>
    <row r="4" spans="1:15" x14ac:dyDescent="0.25">
      <c r="B4" s="1">
        <v>45697</v>
      </c>
      <c r="C4" t="s">
        <v>17</v>
      </c>
      <c r="G4">
        <v>20</v>
      </c>
      <c r="J4" t="str">
        <f t="shared" si="0"/>
        <v/>
      </c>
      <c r="K4" t="str">
        <f t="shared" si="1"/>
        <v/>
      </c>
    </row>
    <row r="5" spans="1:15" x14ac:dyDescent="0.25">
      <c r="B5" s="1">
        <v>45697</v>
      </c>
      <c r="C5" t="s">
        <v>18</v>
      </c>
      <c r="G5">
        <v>20</v>
      </c>
      <c r="J5" t="str">
        <f t="shared" si="0"/>
        <v/>
      </c>
      <c r="K5" t="str">
        <f t="shared" si="1"/>
        <v/>
      </c>
    </row>
    <row r="6" spans="1:15" x14ac:dyDescent="0.25">
      <c r="B6" s="1">
        <v>45697</v>
      </c>
      <c r="C6" t="s">
        <v>19</v>
      </c>
      <c r="G6">
        <v>20</v>
      </c>
      <c r="J6" t="str">
        <f t="shared" si="0"/>
        <v/>
      </c>
      <c r="K6" t="str">
        <f t="shared" si="1"/>
        <v/>
      </c>
    </row>
    <row r="7" spans="1:15" x14ac:dyDescent="0.25">
      <c r="B7" s="1">
        <v>45697</v>
      </c>
      <c r="C7" t="s">
        <v>20</v>
      </c>
      <c r="G7">
        <v>20</v>
      </c>
      <c r="J7" t="str">
        <f t="shared" si="0"/>
        <v/>
      </c>
      <c r="K7" t="str">
        <f t="shared" si="1"/>
        <v/>
      </c>
    </row>
    <row r="8" spans="1:15" x14ac:dyDescent="0.25">
      <c r="B8" s="1">
        <v>45697</v>
      </c>
      <c r="C8" t="s">
        <v>21</v>
      </c>
      <c r="G8">
        <v>20</v>
      </c>
      <c r="J8" t="str">
        <f t="shared" si="0"/>
        <v/>
      </c>
      <c r="K8" t="str">
        <f t="shared" si="1"/>
        <v/>
      </c>
    </row>
    <row r="9" spans="1:15" x14ac:dyDescent="0.25">
      <c r="B9" s="1">
        <v>45697</v>
      </c>
      <c r="C9" t="s">
        <v>22</v>
      </c>
      <c r="G9">
        <v>20</v>
      </c>
      <c r="J9" t="str">
        <f t="shared" si="0"/>
        <v/>
      </c>
      <c r="K9" t="str">
        <f t="shared" si="1"/>
        <v/>
      </c>
    </row>
    <row r="10" spans="1:15" x14ac:dyDescent="0.25">
      <c r="A10" s="2">
        <v>173</v>
      </c>
      <c r="B10" s="1">
        <v>45697</v>
      </c>
      <c r="C10" t="s">
        <v>23</v>
      </c>
      <c r="G10">
        <v>20</v>
      </c>
      <c r="H10" s="3"/>
      <c r="J10" t="str">
        <f t="shared" si="0"/>
        <v/>
      </c>
      <c r="K10" t="str">
        <f t="shared" si="1"/>
        <v/>
      </c>
    </row>
    <row r="11" spans="1:15" x14ac:dyDescent="0.25">
      <c r="A11" s="2">
        <f>A10-G11+I11</f>
        <v>153</v>
      </c>
      <c r="B11" s="1">
        <v>45698</v>
      </c>
      <c r="C11" t="s">
        <v>24</v>
      </c>
      <c r="D11" t="s">
        <v>14</v>
      </c>
      <c r="E11" t="s">
        <v>33</v>
      </c>
      <c r="F11">
        <v>6</v>
      </c>
      <c r="G11">
        <v>20</v>
      </c>
      <c r="H11" s="3">
        <v>195</v>
      </c>
      <c r="I11" s="3">
        <v>0</v>
      </c>
      <c r="J11">
        <f t="shared" si="0"/>
        <v>189</v>
      </c>
      <c r="K11" t="str">
        <f>IF(I11="","",IF(I11=0,"Loss",IF(I11&lt;H11,"Partial","Win")))</f>
        <v>Loss</v>
      </c>
      <c r="M11">
        <v>6</v>
      </c>
      <c r="O11" t="s">
        <v>34</v>
      </c>
    </row>
    <row r="12" spans="1:15" x14ac:dyDescent="0.25">
      <c r="A12" s="2">
        <f t="shared" ref="A12:A19" si="2">A11-G12+I12</f>
        <v>203</v>
      </c>
      <c r="B12" s="1">
        <v>45698</v>
      </c>
      <c r="C12" t="s">
        <v>25</v>
      </c>
      <c r="D12" t="s">
        <v>14</v>
      </c>
      <c r="E12" t="s">
        <v>35</v>
      </c>
      <c r="F12">
        <v>3</v>
      </c>
      <c r="G12">
        <v>20</v>
      </c>
      <c r="H12" s="3">
        <v>70</v>
      </c>
      <c r="I12" s="3">
        <v>70</v>
      </c>
      <c r="J12">
        <f t="shared" si="0"/>
        <v>67</v>
      </c>
      <c r="K12" t="str">
        <f t="shared" ref="K12:K19" si="3">IF(I12="","",IF(I12=0,"Loss",IF(I12&lt;H12,"Partial","Win")))</f>
        <v>Win</v>
      </c>
      <c r="M12">
        <v>3</v>
      </c>
      <c r="O12" t="s">
        <v>36</v>
      </c>
    </row>
    <row r="13" spans="1:15" x14ac:dyDescent="0.25">
      <c r="A13" s="2">
        <f t="shared" si="2"/>
        <v>183</v>
      </c>
      <c r="B13" s="1">
        <v>45698</v>
      </c>
      <c r="C13" t="s">
        <v>26</v>
      </c>
      <c r="D13" t="s">
        <v>14</v>
      </c>
      <c r="E13" t="s">
        <v>37</v>
      </c>
      <c r="F13">
        <v>5</v>
      </c>
      <c r="G13">
        <v>20</v>
      </c>
      <c r="H13" s="3">
        <v>175</v>
      </c>
      <c r="I13" s="3">
        <v>0</v>
      </c>
      <c r="J13">
        <f t="shared" si="0"/>
        <v>170</v>
      </c>
      <c r="K13" t="str">
        <f t="shared" si="3"/>
        <v>Loss</v>
      </c>
      <c r="M13">
        <v>5</v>
      </c>
      <c r="O13" t="s">
        <v>38</v>
      </c>
    </row>
    <row r="14" spans="1:15" x14ac:dyDescent="0.25">
      <c r="A14" s="2">
        <f t="shared" si="2"/>
        <v>163</v>
      </c>
      <c r="B14" s="1">
        <v>45698</v>
      </c>
      <c r="C14" t="s">
        <v>27</v>
      </c>
      <c r="D14" t="s">
        <v>14</v>
      </c>
      <c r="E14" t="s">
        <v>33</v>
      </c>
      <c r="F14">
        <v>6</v>
      </c>
      <c r="G14">
        <v>20</v>
      </c>
      <c r="H14" s="3">
        <v>770</v>
      </c>
      <c r="I14" s="3">
        <v>0</v>
      </c>
      <c r="J14">
        <f t="shared" si="0"/>
        <v>764</v>
      </c>
      <c r="K14" t="str">
        <f t="shared" si="3"/>
        <v>Loss</v>
      </c>
      <c r="M14">
        <v>6</v>
      </c>
      <c r="O14" t="s">
        <v>39</v>
      </c>
    </row>
    <row r="15" spans="1:15" x14ac:dyDescent="0.25">
      <c r="A15" s="2">
        <f t="shared" si="2"/>
        <v>443</v>
      </c>
      <c r="B15" s="1">
        <v>45698</v>
      </c>
      <c r="C15" t="s">
        <v>28</v>
      </c>
      <c r="D15" t="s">
        <v>14</v>
      </c>
      <c r="E15" t="s">
        <v>33</v>
      </c>
      <c r="F15">
        <v>6</v>
      </c>
      <c r="G15">
        <v>20</v>
      </c>
      <c r="H15" s="3">
        <v>300</v>
      </c>
      <c r="I15" s="3">
        <v>300</v>
      </c>
      <c r="J15">
        <f t="shared" si="0"/>
        <v>294</v>
      </c>
      <c r="K15" t="str">
        <f t="shared" si="3"/>
        <v>Win</v>
      </c>
      <c r="M15">
        <v>6</v>
      </c>
      <c r="O15" t="s">
        <v>40</v>
      </c>
    </row>
    <row r="16" spans="1:15" x14ac:dyDescent="0.25">
      <c r="A16" s="2">
        <f t="shared" si="2"/>
        <v>423</v>
      </c>
      <c r="B16" s="1">
        <v>45698</v>
      </c>
      <c r="C16" t="s">
        <v>29</v>
      </c>
      <c r="D16" t="s">
        <v>14</v>
      </c>
      <c r="E16" t="s">
        <v>33</v>
      </c>
      <c r="F16">
        <v>6</v>
      </c>
      <c r="G16">
        <v>20</v>
      </c>
      <c r="H16" s="3">
        <v>330</v>
      </c>
      <c r="I16" s="3">
        <v>0</v>
      </c>
      <c r="J16">
        <f t="shared" si="0"/>
        <v>324</v>
      </c>
      <c r="K16" t="str">
        <f t="shared" si="3"/>
        <v>Loss</v>
      </c>
      <c r="M16">
        <v>6</v>
      </c>
      <c r="O16" t="s">
        <v>41</v>
      </c>
    </row>
    <row r="17" spans="1:15" x14ac:dyDescent="0.25">
      <c r="A17" s="2">
        <f t="shared" si="2"/>
        <v>523</v>
      </c>
      <c r="B17" s="1">
        <v>45698</v>
      </c>
      <c r="C17" t="s">
        <v>30</v>
      </c>
      <c r="D17" t="s">
        <v>14</v>
      </c>
      <c r="E17" t="s">
        <v>35</v>
      </c>
      <c r="F17">
        <v>3</v>
      </c>
      <c r="G17">
        <v>20</v>
      </c>
      <c r="H17" s="3">
        <v>120</v>
      </c>
      <c r="I17" s="3">
        <v>120</v>
      </c>
      <c r="J17">
        <f t="shared" si="0"/>
        <v>117</v>
      </c>
      <c r="K17" t="str">
        <f t="shared" si="3"/>
        <v>Win</v>
      </c>
      <c r="M17">
        <v>3</v>
      </c>
      <c r="O17" t="s">
        <v>42</v>
      </c>
    </row>
    <row r="18" spans="1:15" x14ac:dyDescent="0.25">
      <c r="A18" s="2">
        <f t="shared" si="2"/>
        <v>563</v>
      </c>
      <c r="B18" s="1">
        <v>45698</v>
      </c>
      <c r="C18" t="s">
        <v>31</v>
      </c>
      <c r="D18" t="s">
        <v>14</v>
      </c>
      <c r="E18" t="s">
        <v>43</v>
      </c>
      <c r="F18">
        <v>3</v>
      </c>
      <c r="G18">
        <v>20</v>
      </c>
      <c r="H18" s="3">
        <v>60</v>
      </c>
      <c r="I18" s="3">
        <v>60</v>
      </c>
      <c r="J18">
        <f t="shared" si="0"/>
        <v>57</v>
      </c>
      <c r="K18" t="str">
        <f t="shared" si="3"/>
        <v>Win</v>
      </c>
      <c r="M18">
        <v>3</v>
      </c>
      <c r="O18" t="s">
        <v>44</v>
      </c>
    </row>
    <row r="19" spans="1:15" x14ac:dyDescent="0.25">
      <c r="A19" s="2">
        <f t="shared" si="2"/>
        <v>550</v>
      </c>
      <c r="B19" s="1">
        <v>45698</v>
      </c>
      <c r="C19" t="s">
        <v>46</v>
      </c>
      <c r="D19" t="s">
        <v>14</v>
      </c>
      <c r="E19" t="s">
        <v>33</v>
      </c>
      <c r="F19">
        <v>6</v>
      </c>
      <c r="G19">
        <v>13</v>
      </c>
      <c r="H19">
        <v>260</v>
      </c>
      <c r="I19" s="3">
        <v>0</v>
      </c>
      <c r="J19">
        <f t="shared" si="0"/>
        <v>254</v>
      </c>
      <c r="K19" t="str">
        <f t="shared" si="3"/>
        <v>Loss</v>
      </c>
      <c r="M19">
        <v>6</v>
      </c>
      <c r="O19" t="s">
        <v>47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P&amp;L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2026-02-10T18:09:45Z</dcterms:created>
  <dcterms:modified xsi:type="dcterms:W3CDTF">2026-02-11T11:17:55Z</dcterms:modified>
</cp:coreProperties>
</file>